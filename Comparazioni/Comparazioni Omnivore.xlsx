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dreaongaro/Documents/Magistrale/Torino/Corsi/2_ANNO/AdvanceMachineLearning/Progetto/s329706_s324381_s329489_project2/Comparazioni/"/>
    </mc:Choice>
  </mc:AlternateContent>
  <xr:revisionPtr revIDLastSave="0" documentId="13_ncr:1_{F9FB2CD1-9F5C-814C-9020-1E2DEC2CCC9E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OMNI_BERT" sheetId="1" r:id="rId1"/>
    <sheet name="OMNI_GLO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Nig1OH49XDKUK7ViUspJGeRCUjFWn5HBYiVsXqEOKY="/>
    </ext>
  </extLst>
</workbook>
</file>

<file path=xl/calcChain.xml><?xml version="1.0" encoding="utf-8"?>
<calcChain xmlns="http://schemas.openxmlformats.org/spreadsheetml/2006/main">
  <c r="O20" i="2" l="1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31" i="1"/>
  <c r="N31" i="1"/>
  <c r="M31" i="1"/>
  <c r="L31" i="1"/>
  <c r="O30" i="1"/>
  <c r="N30" i="1"/>
  <c r="M30" i="1"/>
  <c r="L30" i="1"/>
  <c r="O28" i="1"/>
  <c r="N28" i="1"/>
  <c r="M28" i="1"/>
  <c r="L28" i="1"/>
  <c r="O27" i="1"/>
  <c r="N27" i="1"/>
  <c r="M27" i="1"/>
  <c r="L27" i="1"/>
  <c r="O26" i="1"/>
  <c r="N26" i="1"/>
  <c r="M26" i="1"/>
  <c r="L26" i="1"/>
  <c r="O24" i="1"/>
  <c r="N24" i="1"/>
  <c r="M24" i="1"/>
  <c r="L24" i="1"/>
  <c r="O23" i="1"/>
  <c r="N23" i="1"/>
  <c r="M23" i="1"/>
  <c r="L23" i="1"/>
  <c r="O22" i="1"/>
  <c r="N22" i="1"/>
  <c r="M22" i="1"/>
  <c r="L22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1" authorId="0" shapeId="0" xr:uid="{00000000-0006-0000-0100-000002000000}">
      <text>
        <r>
          <rPr>
            <sz val="12"/>
            <color theme="1"/>
            <rFont val="Aptos Narrow"/>
            <scheme val="minor"/>
          </rPr>
          <t>======
ID#AAABaUWJIrQ
Davide Ravidà    (2024-12-27 10:24:08)
0,0025 è già il valore ottimale nella nostra configurazione</t>
        </r>
      </text>
    </comment>
    <comment ref="G21" authorId="0" shapeId="0" xr:uid="{00000000-0006-0000-0100-000001000000}">
      <text>
        <r>
          <rPr>
            <sz val="12"/>
            <color theme="1"/>
            <rFont val="Aptos Narrow"/>
            <scheme val="minor"/>
          </rPr>
          <t>======
ID#AAABaTfle1o
Davide Ravidà    (2024-12-28 12:04:41)
Aumentare il numero di epoche non porta miglioramenti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fBvL3BBmw4PKHilzYrAmiacsXQ=="/>
    </ext>
  </extLst>
</comments>
</file>

<file path=xl/sharedStrings.xml><?xml version="1.0" encoding="utf-8"?>
<sst xmlns="http://schemas.openxmlformats.org/spreadsheetml/2006/main" count="49" uniqueCount="22">
  <si>
    <t>DIM</t>
  </si>
  <si>
    <t>BATCH</t>
  </si>
  <si>
    <t>LR</t>
  </si>
  <si>
    <t>epochs</t>
  </si>
  <si>
    <t xml:space="preserve">RANK 1 </t>
  </si>
  <si>
    <t>RANK 1</t>
  </si>
  <si>
    <t>RANK 5</t>
  </si>
  <si>
    <t>Blocco 1</t>
  </si>
  <si>
    <t>mIoU@0.3</t>
  </si>
  <si>
    <t>mIoU@0.5</t>
  </si>
  <si>
    <t>LEARNING RATE = [0,0001 - 0,0005 - 0,001 - 0,0025 ]</t>
  </si>
  <si>
    <t>BATCH SIZE = [128,64,32,16]</t>
  </si>
  <si>
    <t>DIM = [128,96]</t>
  </si>
  <si>
    <t>Blocco 2</t>
  </si>
  <si>
    <t>Se si aumenta la dim (es. 256) aumentare anche drop rate</t>
  </si>
  <si>
    <t>Blocco 3</t>
  </si>
  <si>
    <t>-</t>
  </si>
  <si>
    <t>SLOW FAST FEATURES</t>
  </si>
  <si>
    <t>VARIO DIM E BATCH</t>
  </si>
  <si>
    <t>NON SERVE AUMENTARE DI PIU DIM</t>
  </si>
  <si>
    <t>VARIO EPOCHE E LR</t>
  </si>
  <si>
    <t>Quando aumenti la batch size di un tot, devi aumentare la lr dello stesso valore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</si>
</sst>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</font>
    <font>
      <sz val="12"/>
      <color theme="10"/>
      <name val="Aptos Narrow"/>
    </font>
    <font>
      <sz val="12"/>
      <color rgb="FFFF0000"/>
      <name val="Arial"/>
    </font>
    <font>
      <sz val="11"/>
      <color rgb="FF1F1F1F"/>
      <name val="Arial"/>
    </font>
    <font>
      <sz val="12"/>
      <color theme="1"/>
      <name val="Arial"/>
    </font>
    <font>
      <sz val="12"/>
      <color theme="1"/>
      <name val="Aptos Narrow"/>
    </font>
    <font>
      <sz val="12"/>
      <color rgb="FFFF0000"/>
      <name val="Aptos Narrow"/>
    </font>
    <font>
      <b/>
      <sz val="12"/>
      <color theme="1"/>
      <name val="Arial"/>
    </font>
    <font>
      <sz val="12"/>
      <color rgb="FF000000"/>
      <name val="Arial"/>
    </font>
    <font>
      <sz val="12"/>
      <color rgb="FFFF0000"/>
      <name val="Aptos Narrow"/>
      <scheme val="minor"/>
    </font>
    <font>
      <b/>
      <sz val="12"/>
      <color rgb="FFFF0000"/>
      <name val="Arial"/>
    </font>
    <font>
      <b/>
      <sz val="12"/>
      <color theme="1"/>
      <name val="Aptos Narrow"/>
      <scheme val="minor"/>
    </font>
    <font>
      <b/>
      <sz val="12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6" fillId="3" borderId="1" xfId="0" applyFont="1" applyFill="1" applyBorder="1"/>
    <xf numFmtId="0" fontId="7" fillId="3" borderId="1" xfId="0" applyFont="1" applyFill="1" applyBorder="1"/>
    <xf numFmtId="0" fontId="8" fillId="4" borderId="1" xfId="0" applyFont="1" applyFill="1" applyBorder="1"/>
    <xf numFmtId="0" fontId="7" fillId="4" borderId="1" xfId="0" applyFont="1" applyFill="1" applyBorder="1"/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8" fillId="4" borderId="2" xfId="0" applyFont="1" applyFill="1" applyBorder="1"/>
    <xf numFmtId="0" fontId="5" fillId="5" borderId="1" xfId="0" applyFont="1" applyFill="1" applyBorder="1"/>
    <xf numFmtId="0" fontId="9" fillId="5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6" fillId="5" borderId="1" xfId="0" applyFont="1" applyFill="1" applyBorder="1"/>
    <xf numFmtId="0" fontId="7" fillId="5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1" fillId="4" borderId="0" xfId="0" applyFont="1" applyFill="1"/>
    <xf numFmtId="0" fontId="9" fillId="0" borderId="1" xfId="0" applyFont="1" applyBorder="1"/>
    <xf numFmtId="0" fontId="10" fillId="0" borderId="0" xfId="0" applyFont="1"/>
    <xf numFmtId="2" fontId="7" fillId="0" borderId="1" xfId="0" applyNumberFormat="1" applyFont="1" applyBorder="1"/>
    <xf numFmtId="2" fontId="1" fillId="0" borderId="1" xfId="0" applyNumberFormat="1" applyFont="1" applyBorder="1"/>
    <xf numFmtId="0" fontId="3" fillId="5" borderId="1" xfId="0" applyFont="1" applyFill="1" applyBorder="1"/>
    <xf numFmtId="2" fontId="7" fillId="5" borderId="1" xfId="0" applyNumberFormat="1" applyFont="1" applyFill="1" applyBorder="1"/>
    <xf numFmtId="2" fontId="1" fillId="5" borderId="1" xfId="0" applyNumberFormat="1" applyFont="1" applyFill="1" applyBorder="1"/>
    <xf numFmtId="0" fontId="11" fillId="0" borderId="1" xfId="0" applyFont="1" applyBorder="1"/>
    <xf numFmtId="0" fontId="12" fillId="0" borderId="1" xfId="0" applyFont="1" applyBorder="1"/>
    <xf numFmtId="0" fontId="3" fillId="6" borderId="0" xfId="0" applyFont="1" applyFill="1"/>
    <xf numFmtId="0" fontId="10" fillId="7" borderId="1" xfId="0" applyFont="1" applyFill="1" applyBorder="1"/>
    <xf numFmtId="0" fontId="13" fillId="7" borderId="1" xfId="0" applyFont="1" applyFill="1" applyBorder="1"/>
    <xf numFmtId="0" fontId="14" fillId="7" borderId="1" xfId="0" applyFont="1" applyFill="1" applyBorder="1"/>
    <xf numFmtId="0" fontId="10" fillId="6" borderId="0" xfId="0" applyFont="1" applyFill="1"/>
    <xf numFmtId="0" fontId="4" fillId="0" borderId="0" xfId="0" applyFont="1"/>
    <xf numFmtId="0" fontId="6" fillId="3" borderId="0" xfId="0" applyFont="1" applyFill="1"/>
    <xf numFmtId="0" fontId="3" fillId="5" borderId="0" xfId="0" applyFont="1" applyFill="1"/>
    <xf numFmtId="0" fontId="2" fillId="5" borderId="0" xfId="0" applyFont="1" applyFill="1"/>
    <xf numFmtId="0" fontId="1" fillId="5" borderId="0" xfId="0" applyFont="1" applyFill="1"/>
    <xf numFmtId="2" fontId="7" fillId="0" borderId="0" xfId="0" applyNumberFormat="1" applyFont="1"/>
    <xf numFmtId="2" fontId="2" fillId="0" borderId="1" xfId="0" applyNumberFormat="1" applyFont="1" applyBorder="1"/>
    <xf numFmtId="0" fontId="7" fillId="0" borderId="0" xfId="0" applyFont="1" applyAlignment="1">
      <alignment horizontal="right"/>
    </xf>
    <xf numFmtId="2" fontId="8" fillId="0" borderId="0" xfId="0" applyNumberFormat="1" applyFont="1"/>
    <xf numFmtId="0" fontId="7" fillId="0" borderId="0" xfId="0" applyFont="1"/>
    <xf numFmtId="0" fontId="1" fillId="0" borderId="0" xfId="0" applyFont="1"/>
    <xf numFmtId="0" fontId="7" fillId="5" borderId="0" xfId="0" applyFont="1" applyFill="1" applyAlignment="1">
      <alignment horizontal="right"/>
    </xf>
    <xf numFmtId="0" fontId="1" fillId="3" borderId="0" xfId="0" applyFont="1" applyFill="1"/>
    <xf numFmtId="0" fontId="7" fillId="4" borderId="0" xfId="0" applyFont="1" applyFill="1" applyAlignment="1">
      <alignment horizontal="right"/>
    </xf>
    <xf numFmtId="0" fontId="3" fillId="4" borderId="0" xfId="0" applyFont="1" applyFill="1"/>
    <xf numFmtId="0" fontId="15" fillId="0" borderId="0" xfId="0" applyFont="1"/>
    <xf numFmtId="0" fontId="14" fillId="0" borderId="0" xfId="0" applyFo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69" sqref="F69"/>
    </sheetView>
  </sheetViews>
  <sheetFormatPr baseColWidth="10" defaultColWidth="11.1640625" defaultRowHeight="15" customHeight="1" x14ac:dyDescent="0.2"/>
  <cols>
    <col min="1" max="1" width="3.83203125" customWidth="1"/>
    <col min="2" max="5" width="10.5" customWidth="1"/>
    <col min="6" max="6" width="6.5" customWidth="1"/>
    <col min="7" max="10" width="10.5" customWidth="1"/>
    <col min="11" max="11" width="5.33203125" customWidth="1"/>
    <col min="12" max="26" width="10.5" customWidth="1"/>
  </cols>
  <sheetData>
    <row r="1" spans="1:21" ht="15.75" customHeight="1" x14ac:dyDescent="0.2"/>
    <row r="2" spans="1:21" ht="15.75" customHeight="1" x14ac:dyDescent="0.2">
      <c r="A2" s="1"/>
      <c r="B2" s="2" t="s">
        <v>0</v>
      </c>
      <c r="C2" s="2" t="s">
        <v>1</v>
      </c>
      <c r="D2" s="2" t="s">
        <v>2</v>
      </c>
      <c r="E2" s="2" t="s">
        <v>3</v>
      </c>
      <c r="F2" s="3"/>
      <c r="G2" s="2" t="s">
        <v>4</v>
      </c>
      <c r="H2" s="2" t="s">
        <v>5</v>
      </c>
      <c r="I2" s="2" t="s">
        <v>6</v>
      </c>
      <c r="J2" s="2" t="s">
        <v>6</v>
      </c>
      <c r="K2" s="3"/>
      <c r="L2" s="3"/>
      <c r="M2" s="3"/>
      <c r="N2" s="3"/>
      <c r="O2" s="3"/>
    </row>
    <row r="3" spans="1:21" ht="15.75" customHeight="1" x14ac:dyDescent="0.2">
      <c r="A3" s="3"/>
      <c r="B3" s="4" t="s">
        <v>7</v>
      </c>
      <c r="C3" s="3"/>
      <c r="D3" s="3"/>
      <c r="E3" s="2"/>
      <c r="F3" s="3"/>
      <c r="G3" s="5" t="s">
        <v>8</v>
      </c>
      <c r="H3" s="5" t="s">
        <v>9</v>
      </c>
      <c r="I3" s="2" t="s">
        <v>8</v>
      </c>
      <c r="J3" s="2" t="s">
        <v>9</v>
      </c>
      <c r="K3" s="3"/>
      <c r="L3" s="4">
        <v>5.45</v>
      </c>
      <c r="M3" s="2">
        <v>3.12</v>
      </c>
      <c r="N3" s="2">
        <v>10.74</v>
      </c>
      <c r="O3" s="2">
        <v>6.63</v>
      </c>
    </row>
    <row r="4" spans="1:21" ht="15.75" customHeight="1" x14ac:dyDescent="0.2">
      <c r="A4" s="4">
        <v>1</v>
      </c>
      <c r="B4" s="6">
        <v>96</v>
      </c>
      <c r="C4" s="6">
        <v>128</v>
      </c>
      <c r="D4" s="7">
        <v>2.5000000000000001E-3</v>
      </c>
      <c r="E4" s="7">
        <v>10</v>
      </c>
      <c r="F4" s="1"/>
      <c r="G4" s="7">
        <v>4.21</v>
      </c>
      <c r="H4" s="7">
        <v>1.96</v>
      </c>
      <c r="I4" s="7">
        <v>10.82</v>
      </c>
      <c r="J4" s="7">
        <v>6.45</v>
      </c>
      <c r="K4" s="1"/>
      <c r="L4" s="1">
        <f t="shared" ref="L4:M4" si="0">SUM(G4-L3)</f>
        <v>-1.2400000000000002</v>
      </c>
      <c r="M4" s="1">
        <f t="shared" si="0"/>
        <v>-1.1600000000000001</v>
      </c>
      <c r="N4" s="1">
        <f t="shared" ref="N4:O4" si="1">SUM(I4 - N3)</f>
        <v>8.0000000000000071E-2</v>
      </c>
      <c r="O4" s="1">
        <f t="shared" si="1"/>
        <v>-0.17999999999999972</v>
      </c>
    </row>
    <row r="5" spans="1:21" ht="15.75" customHeight="1" x14ac:dyDescent="0.2">
      <c r="A5" s="4">
        <v>2</v>
      </c>
      <c r="B5" s="6">
        <v>96</v>
      </c>
      <c r="C5" s="6">
        <v>64</v>
      </c>
      <c r="D5" s="8">
        <v>2.5000000000000001E-3</v>
      </c>
      <c r="E5" s="8">
        <v>10</v>
      </c>
      <c r="F5" s="1"/>
      <c r="G5" s="9">
        <v>5.32</v>
      </c>
      <c r="H5" s="10">
        <v>2.84</v>
      </c>
      <c r="I5" s="10">
        <v>11.9</v>
      </c>
      <c r="J5" s="10">
        <v>7.23</v>
      </c>
      <c r="K5" s="11"/>
      <c r="L5" s="12">
        <f>(SUM(G5 - L3))</f>
        <v>-0.12999999999999989</v>
      </c>
      <c r="M5" s="1">
        <f>SUM(H5-M3)</f>
        <v>-0.28000000000000025</v>
      </c>
      <c r="N5" s="11">
        <f>SUM(I5 - N3)</f>
        <v>1.1600000000000001</v>
      </c>
      <c r="O5" s="11">
        <f>SUM(J5-O3)</f>
        <v>0.60000000000000053</v>
      </c>
      <c r="R5" s="13" t="s">
        <v>10</v>
      </c>
    </row>
    <row r="6" spans="1:21" ht="15.75" customHeight="1" x14ac:dyDescent="0.2">
      <c r="A6" s="4">
        <v>3</v>
      </c>
      <c r="B6" s="6">
        <v>96</v>
      </c>
      <c r="C6" s="6">
        <v>32</v>
      </c>
      <c r="D6" s="8">
        <v>2.5000000000000001E-3</v>
      </c>
      <c r="E6" s="8">
        <v>10</v>
      </c>
      <c r="F6" s="1"/>
      <c r="G6" s="7">
        <v>6.61</v>
      </c>
      <c r="H6" s="14">
        <v>3.74</v>
      </c>
      <c r="I6" s="14">
        <v>14.25</v>
      </c>
      <c r="J6" s="14">
        <v>9.01</v>
      </c>
      <c r="K6" s="1"/>
      <c r="L6" s="8">
        <f>SUM(G6 - L3)</f>
        <v>1.1600000000000001</v>
      </c>
      <c r="M6" s="1">
        <f>SUM(H6-M3)</f>
        <v>0.62000000000000011</v>
      </c>
      <c r="N6" s="8">
        <f>SUM(I6 - N3)</f>
        <v>3.51</v>
      </c>
      <c r="O6" s="8">
        <f>SUM(J6-O3)</f>
        <v>2.38</v>
      </c>
      <c r="R6" s="13" t="s">
        <v>11</v>
      </c>
      <c r="S6" s="15"/>
      <c r="T6" s="16"/>
      <c r="U6" s="15"/>
    </row>
    <row r="7" spans="1:21" ht="15.75" customHeight="1" x14ac:dyDescent="0.2">
      <c r="A7" s="4">
        <v>4</v>
      </c>
      <c r="B7" s="17">
        <v>96</v>
      </c>
      <c r="C7" s="18">
        <v>16</v>
      </c>
      <c r="D7" s="19">
        <v>2.5000000000000001E-3</v>
      </c>
      <c r="E7" s="19">
        <v>10</v>
      </c>
      <c r="F7" s="20"/>
      <c r="G7" s="21">
        <v>6.89</v>
      </c>
      <c r="H7" s="22">
        <v>3.92</v>
      </c>
      <c r="I7" s="22">
        <v>13.58</v>
      </c>
      <c r="J7" s="22">
        <v>8.6199999999999992</v>
      </c>
      <c r="K7" s="20"/>
      <c r="L7" s="19">
        <f>SUM(G7 - L3)</f>
        <v>1.4399999999999995</v>
      </c>
      <c r="M7" s="20">
        <f>SUM(H7-M3)</f>
        <v>0.79999999999999982</v>
      </c>
      <c r="N7" s="19">
        <f>SUM(I7 - N3)</f>
        <v>2.84</v>
      </c>
      <c r="O7" s="19">
        <f>SUM(J7-O3)</f>
        <v>1.9899999999999993</v>
      </c>
      <c r="R7" s="13" t="s">
        <v>12</v>
      </c>
      <c r="S7" s="15"/>
      <c r="T7" s="16"/>
      <c r="U7" s="15"/>
    </row>
    <row r="8" spans="1:21" ht="15.75" customHeight="1" x14ac:dyDescent="0.2">
      <c r="A8" s="23"/>
      <c r="B8" s="14" t="s">
        <v>13</v>
      </c>
      <c r="C8" s="23"/>
      <c r="D8" s="23"/>
      <c r="E8" s="23"/>
      <c r="F8" s="23"/>
      <c r="G8" s="24"/>
      <c r="H8" s="24"/>
      <c r="I8" s="24"/>
      <c r="J8" s="24"/>
      <c r="K8" s="23"/>
      <c r="L8" s="24"/>
      <c r="M8" s="1"/>
      <c r="N8" s="23"/>
      <c r="O8" s="23"/>
      <c r="T8" s="25"/>
    </row>
    <row r="9" spans="1:21" ht="15.75" customHeight="1" x14ac:dyDescent="0.2">
      <c r="A9" s="4">
        <v>5</v>
      </c>
      <c r="B9" s="26">
        <v>128</v>
      </c>
      <c r="C9" s="6">
        <v>128</v>
      </c>
      <c r="D9" s="7">
        <v>2.5000000000000001E-3</v>
      </c>
      <c r="E9" s="8">
        <v>10</v>
      </c>
      <c r="F9" s="1"/>
      <c r="G9" s="7">
        <v>4.5199999999999996</v>
      </c>
      <c r="H9" s="7">
        <v>2.3199999999999998</v>
      </c>
      <c r="I9" s="7">
        <v>11.2</v>
      </c>
      <c r="J9" s="7">
        <v>6.56</v>
      </c>
      <c r="K9" s="1"/>
      <c r="L9" s="8">
        <f t="shared" ref="L9:N9" si="2">SUM(G9 - L3)</f>
        <v>-0.9300000000000006</v>
      </c>
      <c r="M9" s="1">
        <f t="shared" si="2"/>
        <v>-0.80000000000000027</v>
      </c>
      <c r="N9" s="1">
        <f t="shared" si="2"/>
        <v>0.45999999999999908</v>
      </c>
      <c r="O9" s="1">
        <f>SUM(J9-O3)</f>
        <v>-7.0000000000000284E-2</v>
      </c>
      <c r="R9" s="27" t="s">
        <v>14</v>
      </c>
      <c r="S9" s="15"/>
      <c r="T9" s="16"/>
      <c r="U9" s="15"/>
    </row>
    <row r="10" spans="1:21" ht="15.75" customHeight="1" x14ac:dyDescent="0.2">
      <c r="A10" s="4">
        <v>6</v>
      </c>
      <c r="B10" s="26">
        <v>128</v>
      </c>
      <c r="C10" s="6">
        <v>64</v>
      </c>
      <c r="D10" s="1">
        <v>2.5000000000000001E-3</v>
      </c>
      <c r="E10" s="1">
        <v>10</v>
      </c>
      <c r="F10" s="1"/>
      <c r="G10" s="28">
        <v>5.99</v>
      </c>
      <c r="H10" s="28">
        <v>3.3</v>
      </c>
      <c r="I10" s="28">
        <v>12.93</v>
      </c>
      <c r="J10" s="28">
        <v>7.87</v>
      </c>
      <c r="K10" s="1"/>
      <c r="L10" s="29">
        <f t="shared" ref="L10:N10" si="3">SUM(G10 - L3)</f>
        <v>0.54</v>
      </c>
      <c r="M10" s="29">
        <f t="shared" si="3"/>
        <v>0.17999999999999972</v>
      </c>
      <c r="N10" s="29">
        <f t="shared" si="3"/>
        <v>2.1899999999999995</v>
      </c>
      <c r="O10" s="29">
        <f>SUM(J10-O3)</f>
        <v>1.2400000000000002</v>
      </c>
    </row>
    <row r="11" spans="1:21" ht="15.75" customHeight="1" x14ac:dyDescent="0.2">
      <c r="A11" s="4">
        <v>7</v>
      </c>
      <c r="B11" s="6">
        <v>128</v>
      </c>
      <c r="C11" s="6">
        <v>32</v>
      </c>
      <c r="D11" s="7">
        <v>2.5000000000000001E-3</v>
      </c>
      <c r="E11" s="8">
        <v>10</v>
      </c>
      <c r="F11" s="1"/>
      <c r="G11" s="28">
        <v>6.43</v>
      </c>
      <c r="H11" s="28">
        <v>3.64</v>
      </c>
      <c r="I11" s="28">
        <v>12.96</v>
      </c>
      <c r="J11" s="28">
        <v>8.18</v>
      </c>
      <c r="K11" s="1"/>
      <c r="L11" s="29">
        <f t="shared" ref="L11:M11" si="4">SUM(G11 - L3)</f>
        <v>0.97999999999999954</v>
      </c>
      <c r="M11" s="29">
        <f t="shared" si="4"/>
        <v>0.52</v>
      </c>
      <c r="N11" s="29">
        <f>SUM(I11-N3)</f>
        <v>2.2200000000000006</v>
      </c>
      <c r="O11" s="29">
        <f>SUM(J11-O3)</f>
        <v>1.5499999999999998</v>
      </c>
    </row>
    <row r="12" spans="1:21" ht="15.75" customHeight="1" x14ac:dyDescent="0.2">
      <c r="A12" s="4">
        <v>8</v>
      </c>
      <c r="B12" s="17">
        <v>128</v>
      </c>
      <c r="C12" s="17">
        <v>16</v>
      </c>
      <c r="D12" s="30">
        <v>2.5000000000000001E-3</v>
      </c>
      <c r="E12" s="30">
        <v>10</v>
      </c>
      <c r="F12" s="20"/>
      <c r="G12" s="31">
        <v>7.63</v>
      </c>
      <c r="H12" s="31">
        <v>4.08</v>
      </c>
      <c r="I12" s="31">
        <v>13.86</v>
      </c>
      <c r="J12" s="31">
        <v>8.6</v>
      </c>
      <c r="K12" s="20"/>
      <c r="L12" s="32">
        <f t="shared" ref="L12:M12" si="5">SUM(G12 - L3)</f>
        <v>2.1799999999999997</v>
      </c>
      <c r="M12" s="32">
        <f t="shared" si="5"/>
        <v>0.96</v>
      </c>
      <c r="N12" s="32">
        <f>SUM(I12-N3)</f>
        <v>3.1199999999999992</v>
      </c>
      <c r="O12" s="32">
        <f>SUM(J12-O3)</f>
        <v>1.9699999999999998</v>
      </c>
    </row>
    <row r="13" spans="1:21" ht="15.75" customHeight="1" x14ac:dyDescent="0.2">
      <c r="A13" s="23"/>
      <c r="B13" s="33" t="s">
        <v>15</v>
      </c>
      <c r="C13" s="34"/>
      <c r="D13" s="8"/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1" ht="15.75" customHeight="1" x14ac:dyDescent="0.2">
      <c r="A14" s="4">
        <v>9</v>
      </c>
      <c r="B14" s="6">
        <v>256</v>
      </c>
      <c r="C14" s="6">
        <v>128</v>
      </c>
      <c r="D14" s="7">
        <v>2.5000000000000001E-3</v>
      </c>
      <c r="E14" s="7">
        <v>10</v>
      </c>
      <c r="F14" s="1"/>
      <c r="G14" s="7">
        <v>0.44</v>
      </c>
      <c r="H14" s="7">
        <v>0.15</v>
      </c>
      <c r="I14" s="7">
        <v>4.3899999999999997</v>
      </c>
      <c r="J14" s="7">
        <v>2.61</v>
      </c>
      <c r="K14" s="1"/>
      <c r="L14" s="1">
        <f t="shared" ref="L14:M14" si="6">SUM(G14 - L3)</f>
        <v>-5.01</v>
      </c>
      <c r="M14" s="1">
        <f t="shared" si="6"/>
        <v>-2.97</v>
      </c>
      <c r="N14" s="1">
        <f>SUM(I14-N3)</f>
        <v>-6.3500000000000005</v>
      </c>
      <c r="O14" s="1">
        <f>SUM(J14-O3)</f>
        <v>-4.0199999999999996</v>
      </c>
    </row>
    <row r="15" spans="1:21" ht="15.75" customHeight="1" x14ac:dyDescent="0.2">
      <c r="A15" s="4">
        <v>10</v>
      </c>
      <c r="B15" s="6">
        <v>256</v>
      </c>
      <c r="C15" s="6">
        <v>64</v>
      </c>
      <c r="D15" s="7">
        <v>2.5000000000000001E-3</v>
      </c>
      <c r="E15" s="7">
        <v>10</v>
      </c>
      <c r="F15" s="1"/>
      <c r="G15" s="7">
        <v>0.44</v>
      </c>
      <c r="H15" s="7">
        <v>0.15</v>
      </c>
      <c r="I15" s="7">
        <v>4.3899999999999997</v>
      </c>
      <c r="J15" s="7">
        <v>2.61</v>
      </c>
      <c r="K15" s="1"/>
      <c r="L15" s="1">
        <f t="shared" ref="L15:M15" si="7">SUM(G15 - L3)</f>
        <v>-5.01</v>
      </c>
      <c r="M15" s="1">
        <f t="shared" si="7"/>
        <v>-2.97</v>
      </c>
      <c r="N15" s="1">
        <f>SUM(I15-N3)</f>
        <v>-6.3500000000000005</v>
      </c>
      <c r="O15" s="1">
        <f>SUM(J15-O3)</f>
        <v>-4.0199999999999996</v>
      </c>
    </row>
    <row r="16" spans="1:21" ht="15.75" customHeight="1" x14ac:dyDescent="0.2">
      <c r="A16" s="2">
        <v>11</v>
      </c>
      <c r="B16" s="6">
        <v>256</v>
      </c>
      <c r="C16" s="6">
        <v>32</v>
      </c>
      <c r="D16" s="7">
        <v>2.5000000000000001E-3</v>
      </c>
      <c r="E16" s="7">
        <v>10</v>
      </c>
      <c r="F16" s="1"/>
      <c r="G16" s="7">
        <v>0.44</v>
      </c>
      <c r="H16" s="7">
        <v>0.15</v>
      </c>
      <c r="I16" s="7">
        <v>4.3899999999999997</v>
      </c>
      <c r="J16" s="7">
        <v>2.61</v>
      </c>
      <c r="K16" s="1"/>
      <c r="L16" s="1">
        <f t="shared" ref="L16:M16" si="8">SUM(G16 - L3)</f>
        <v>-5.01</v>
      </c>
      <c r="M16" s="1">
        <f t="shared" si="8"/>
        <v>-2.97</v>
      </c>
      <c r="N16" s="1">
        <f>SUM(I16-N3)</f>
        <v>-6.3500000000000005</v>
      </c>
      <c r="O16" s="1">
        <f>SUM(J16-O3)</f>
        <v>-4.0199999999999996</v>
      </c>
    </row>
    <row r="17" spans="1:15" ht="15.75" customHeight="1" x14ac:dyDescent="0.2">
      <c r="A17" s="4">
        <v>12</v>
      </c>
      <c r="B17" s="17">
        <v>256</v>
      </c>
      <c r="C17" s="17">
        <v>16</v>
      </c>
      <c r="D17" s="30">
        <v>2.5000000000000001E-3</v>
      </c>
      <c r="E17" s="30">
        <v>10</v>
      </c>
      <c r="F17" s="20"/>
      <c r="G17" s="30">
        <v>0.44</v>
      </c>
      <c r="H17" s="30">
        <v>0.15</v>
      </c>
      <c r="I17" s="30">
        <v>5.14</v>
      </c>
      <c r="J17" s="30">
        <v>3.15</v>
      </c>
      <c r="K17" s="20"/>
      <c r="L17" s="20">
        <f>SUM(G17 - L3)</f>
        <v>-5.01</v>
      </c>
      <c r="M17" s="20">
        <f>SUM(H17 + M3)</f>
        <v>3.27</v>
      </c>
      <c r="N17" s="20">
        <f>SUM(I17-N3)</f>
        <v>-5.6000000000000005</v>
      </c>
      <c r="O17" s="20">
        <f>SUM(J17-O3)</f>
        <v>-3.48</v>
      </c>
    </row>
    <row r="18" spans="1:15" ht="15.75" customHeight="1" x14ac:dyDescent="0.2">
      <c r="D18" s="15"/>
      <c r="E18" s="15"/>
      <c r="G18" s="15"/>
      <c r="H18" s="15"/>
      <c r="I18" s="15"/>
      <c r="J18" s="15"/>
    </row>
    <row r="19" spans="1:15" ht="15.75" customHeight="1" x14ac:dyDescent="0.2">
      <c r="D19" s="15"/>
      <c r="E19" s="15"/>
      <c r="G19" s="15"/>
      <c r="H19" s="15"/>
      <c r="I19" s="15"/>
      <c r="J19" s="15"/>
    </row>
    <row r="20" spans="1:15" ht="15.75" customHeight="1" x14ac:dyDescent="0.2"/>
    <row r="21" spans="1:15" ht="15.75" customHeight="1" x14ac:dyDescent="0.2">
      <c r="B21" s="13" t="s">
        <v>7</v>
      </c>
    </row>
    <row r="22" spans="1:15" ht="15.75" customHeight="1" x14ac:dyDescent="0.2">
      <c r="A22" s="35">
        <v>1</v>
      </c>
      <c r="B22" s="7">
        <v>96</v>
      </c>
      <c r="C22" s="7">
        <v>16</v>
      </c>
      <c r="D22" s="6">
        <v>1E-3</v>
      </c>
      <c r="E22" s="6">
        <v>10</v>
      </c>
      <c r="F22" s="1"/>
      <c r="G22" s="7">
        <v>5.16</v>
      </c>
      <c r="H22" s="7">
        <v>2.4500000000000002</v>
      </c>
      <c r="I22" s="7">
        <v>12.11</v>
      </c>
      <c r="J22" s="7">
        <v>7.07</v>
      </c>
      <c r="K22" s="1"/>
      <c r="L22" s="1">
        <f>SUM(G22-L3)</f>
        <v>-0.29000000000000004</v>
      </c>
      <c r="M22" s="1">
        <f t="shared" ref="M22:N22" si="9">SUM(H22 -M3)</f>
        <v>-0.66999999999999993</v>
      </c>
      <c r="N22" s="1">
        <f t="shared" si="9"/>
        <v>1.3699999999999992</v>
      </c>
      <c r="O22" s="1">
        <f>SUM(J22-O3)</f>
        <v>0.44000000000000039</v>
      </c>
    </row>
    <row r="23" spans="1:15" ht="15.75" customHeight="1" x14ac:dyDescent="0.2">
      <c r="A23" s="35">
        <v>2</v>
      </c>
      <c r="B23" s="7">
        <v>96</v>
      </c>
      <c r="C23" s="7">
        <v>16</v>
      </c>
      <c r="D23" s="6">
        <v>1E-3</v>
      </c>
      <c r="E23" s="6">
        <v>20</v>
      </c>
      <c r="F23" s="1"/>
      <c r="G23" s="7">
        <v>6.17</v>
      </c>
      <c r="H23" s="7">
        <v>3.61</v>
      </c>
      <c r="I23" s="7">
        <v>12.7</v>
      </c>
      <c r="J23" s="7">
        <v>7.95</v>
      </c>
      <c r="K23" s="1"/>
      <c r="L23" s="1">
        <f>SUM(G23 - L3)</f>
        <v>0.71999999999999975</v>
      </c>
      <c r="M23" s="1">
        <f t="shared" ref="M23:O23" si="10">SUM(H23 -M3)</f>
        <v>0.48999999999999977</v>
      </c>
      <c r="N23" s="1">
        <f t="shared" si="10"/>
        <v>1.9599999999999991</v>
      </c>
      <c r="O23" s="1">
        <f t="shared" si="10"/>
        <v>1.3200000000000003</v>
      </c>
    </row>
    <row r="24" spans="1:15" ht="15.75" customHeight="1" x14ac:dyDescent="0.2">
      <c r="A24" s="35">
        <v>3</v>
      </c>
      <c r="B24" s="36">
        <v>96</v>
      </c>
      <c r="C24" s="36">
        <v>16</v>
      </c>
      <c r="D24" s="37">
        <v>1E-3</v>
      </c>
      <c r="E24" s="37">
        <v>50</v>
      </c>
      <c r="F24" s="38"/>
      <c r="G24" s="36">
        <v>6.27</v>
      </c>
      <c r="H24" s="36">
        <v>3.59</v>
      </c>
      <c r="I24" s="36">
        <v>11.56</v>
      </c>
      <c r="J24" s="36">
        <v>7.59</v>
      </c>
      <c r="K24" s="38"/>
      <c r="L24" s="38">
        <f>SUM(G24 -L3)</f>
        <v>0.8199999999999994</v>
      </c>
      <c r="M24" s="38">
        <f>SUM(H24 -M3)</f>
        <v>0.46999999999999975</v>
      </c>
      <c r="N24" s="38">
        <f>SUM(I24 - N3)</f>
        <v>0.82000000000000028</v>
      </c>
      <c r="O24" s="38">
        <f>SUM(J24 - O2)</f>
        <v>7.59</v>
      </c>
    </row>
    <row r="25" spans="1:15" ht="15.75" customHeight="1" x14ac:dyDescent="0.2"/>
    <row r="26" spans="1:15" ht="15.75" customHeight="1" x14ac:dyDescent="0.2">
      <c r="A26" s="35">
        <v>4</v>
      </c>
      <c r="B26" s="7">
        <v>96</v>
      </c>
      <c r="C26" s="7">
        <v>16</v>
      </c>
      <c r="D26" s="6">
        <v>5.0000000000000001E-4</v>
      </c>
      <c r="E26" s="6">
        <v>10</v>
      </c>
      <c r="F26" s="1"/>
      <c r="G26" s="7">
        <v>3.2</v>
      </c>
      <c r="H26" s="7">
        <v>1.55</v>
      </c>
      <c r="I26" s="7">
        <v>8.8800000000000008</v>
      </c>
      <c r="J26" s="7">
        <v>5.24</v>
      </c>
      <c r="K26" s="1"/>
      <c r="L26" s="1">
        <f t="shared" ref="L26:N26" si="11">SUM(G26 -L3)</f>
        <v>-2.25</v>
      </c>
      <c r="M26" s="1">
        <f t="shared" si="11"/>
        <v>-1.57</v>
      </c>
      <c r="N26" s="1">
        <f t="shared" si="11"/>
        <v>-1.8599999999999994</v>
      </c>
      <c r="O26" s="1">
        <f>SUM(J26 - O3)</f>
        <v>-1.3899999999999997</v>
      </c>
    </row>
    <row r="27" spans="1:15" ht="15.75" customHeight="1" x14ac:dyDescent="0.2">
      <c r="A27" s="35">
        <v>5</v>
      </c>
      <c r="B27" s="7">
        <v>96</v>
      </c>
      <c r="C27" s="7">
        <v>16</v>
      </c>
      <c r="D27" s="6">
        <v>5.0000000000000001E-4</v>
      </c>
      <c r="E27" s="6">
        <v>20</v>
      </c>
      <c r="F27" s="1"/>
      <c r="G27" s="7">
        <v>5.42</v>
      </c>
      <c r="H27" s="7">
        <v>2.84</v>
      </c>
      <c r="I27" s="7">
        <v>12.31</v>
      </c>
      <c r="J27" s="7">
        <v>7.56</v>
      </c>
      <c r="K27" s="1"/>
      <c r="L27" s="1">
        <f>SUM(G27 -L3)</f>
        <v>-3.0000000000000249E-2</v>
      </c>
      <c r="M27" s="1">
        <f t="shared" ref="M27:O27" si="12">SUM(H27 - M3)</f>
        <v>-0.28000000000000025</v>
      </c>
      <c r="N27" s="1">
        <f t="shared" si="12"/>
        <v>1.5700000000000003</v>
      </c>
      <c r="O27" s="1">
        <f t="shared" si="12"/>
        <v>0.92999999999999972</v>
      </c>
    </row>
    <row r="28" spans="1:15" ht="15.75" customHeight="1" x14ac:dyDescent="0.2">
      <c r="A28" s="39">
        <v>6</v>
      </c>
      <c r="B28" s="36">
        <v>96</v>
      </c>
      <c r="C28" s="36">
        <v>16</v>
      </c>
      <c r="D28" s="37">
        <v>5.0000000000000001E-4</v>
      </c>
      <c r="E28" s="37">
        <v>50</v>
      </c>
      <c r="F28" s="38"/>
      <c r="G28" s="36">
        <v>6.09</v>
      </c>
      <c r="H28" s="36">
        <v>3.48</v>
      </c>
      <c r="I28" s="36">
        <v>13.14</v>
      </c>
      <c r="J28" s="36">
        <v>8.11</v>
      </c>
      <c r="K28" s="38"/>
      <c r="L28" s="38">
        <f t="shared" ref="L28:M28" si="13">SUM(G28 -L3)</f>
        <v>0.63999999999999968</v>
      </c>
      <c r="M28" s="38">
        <f t="shared" si="13"/>
        <v>0.35999999999999988</v>
      </c>
      <c r="N28" s="38">
        <f>SUM(I28 - N3)</f>
        <v>2.4000000000000004</v>
      </c>
      <c r="O28" s="38">
        <f>SUM(J28 -O3)</f>
        <v>1.4799999999999995</v>
      </c>
    </row>
    <row r="29" spans="1:15" ht="15.75" customHeight="1" x14ac:dyDescent="0.2"/>
    <row r="30" spans="1:15" ht="15.75" customHeight="1" x14ac:dyDescent="0.2">
      <c r="A30" s="35">
        <v>7</v>
      </c>
      <c r="B30" s="7">
        <v>96</v>
      </c>
      <c r="C30" s="7">
        <v>16</v>
      </c>
      <c r="D30" s="6">
        <v>1E-4</v>
      </c>
      <c r="E30" s="6">
        <v>10</v>
      </c>
      <c r="F30" s="1"/>
      <c r="G30" s="7">
        <v>1.6</v>
      </c>
      <c r="H30" s="7">
        <v>0.93</v>
      </c>
      <c r="I30" s="7">
        <v>5.27</v>
      </c>
      <c r="J30" s="7">
        <v>2.94</v>
      </c>
      <c r="K30" s="1"/>
      <c r="L30" s="1">
        <f>SUM(G30 - L3)</f>
        <v>-3.85</v>
      </c>
      <c r="M30" s="1">
        <f>SUM(H30 -M3)</f>
        <v>-2.19</v>
      </c>
      <c r="N30" s="1">
        <f>SUM(I30 - N3)</f>
        <v>-5.4700000000000006</v>
      </c>
      <c r="O30" s="1">
        <f>SUM(J30 -O3)</f>
        <v>-3.69</v>
      </c>
    </row>
    <row r="31" spans="1:15" ht="15.75" customHeight="1" x14ac:dyDescent="0.2">
      <c r="A31" s="35">
        <v>8</v>
      </c>
      <c r="B31" s="7">
        <v>96</v>
      </c>
      <c r="C31" s="7">
        <v>16</v>
      </c>
      <c r="D31" s="6">
        <v>1E-4</v>
      </c>
      <c r="E31" s="6">
        <v>20</v>
      </c>
      <c r="F31" s="1"/>
      <c r="G31" s="7">
        <v>1.86</v>
      </c>
      <c r="H31" s="7">
        <v>0.98</v>
      </c>
      <c r="I31" s="7">
        <v>6.01</v>
      </c>
      <c r="J31" s="7">
        <v>3.36</v>
      </c>
      <c r="K31" s="1"/>
      <c r="L31" s="1">
        <f t="shared" ref="L31:M31" si="14">SUM(G31 -L3)</f>
        <v>-3.59</v>
      </c>
      <c r="M31" s="1">
        <f t="shared" si="14"/>
        <v>-2.14</v>
      </c>
      <c r="N31" s="1">
        <f>SUM(I31-N3)</f>
        <v>-4.7300000000000004</v>
      </c>
      <c r="O31" s="1">
        <f>SUM(J31-O3)</f>
        <v>-3.27</v>
      </c>
    </row>
    <row r="32" spans="1:15" ht="15.75" customHeight="1" x14ac:dyDescent="0.2"/>
    <row r="33" spans="1:15" ht="15.75" customHeight="1" x14ac:dyDescent="0.2"/>
    <row r="34" spans="1:15" ht="15.75" customHeight="1" x14ac:dyDescent="0.2"/>
    <row r="35" spans="1:15" ht="15.75" customHeight="1" x14ac:dyDescent="0.2">
      <c r="B35" s="13" t="s">
        <v>13</v>
      </c>
    </row>
    <row r="36" spans="1:15" ht="15.75" customHeight="1" x14ac:dyDescent="0.2">
      <c r="A36" s="35">
        <v>1</v>
      </c>
      <c r="B36" s="7">
        <v>128</v>
      </c>
      <c r="C36" s="7">
        <v>16</v>
      </c>
      <c r="D36" s="6">
        <v>1E-3</v>
      </c>
      <c r="E36" s="6">
        <v>10</v>
      </c>
      <c r="F36" s="1"/>
      <c r="G36" s="7">
        <v>5.34</v>
      </c>
      <c r="H36" s="7">
        <v>2.87</v>
      </c>
      <c r="I36" s="7">
        <v>12.13</v>
      </c>
      <c r="J36" s="7">
        <v>7</v>
      </c>
      <c r="K36" s="1"/>
      <c r="L36" s="1"/>
      <c r="M36" s="1"/>
      <c r="N36" s="1"/>
      <c r="O36" s="1"/>
    </row>
    <row r="37" spans="1:15" ht="15.75" customHeight="1" x14ac:dyDescent="0.2">
      <c r="A37" s="35">
        <v>2</v>
      </c>
      <c r="B37" s="7">
        <v>128</v>
      </c>
      <c r="C37" s="7">
        <v>16</v>
      </c>
      <c r="D37" s="6">
        <v>1E-3</v>
      </c>
      <c r="E37" s="6">
        <v>20</v>
      </c>
      <c r="F37" s="1"/>
      <c r="G37" s="7">
        <v>6.3</v>
      </c>
      <c r="H37" s="7">
        <v>3.46</v>
      </c>
      <c r="I37" s="7">
        <v>13.4</v>
      </c>
      <c r="J37" s="7">
        <v>8.0500000000000007</v>
      </c>
      <c r="K37" s="1"/>
      <c r="L37" s="1"/>
      <c r="M37" s="1"/>
      <c r="N37" s="1"/>
      <c r="O37" s="1"/>
    </row>
    <row r="38" spans="1:15" ht="15.75" customHeight="1" x14ac:dyDescent="0.2">
      <c r="A38" s="35">
        <v>3</v>
      </c>
      <c r="B38" s="7">
        <v>128</v>
      </c>
      <c r="C38" s="7">
        <v>16</v>
      </c>
      <c r="D38" s="6">
        <v>1E-3</v>
      </c>
      <c r="E38" s="6">
        <v>50</v>
      </c>
      <c r="F38" s="1"/>
      <c r="G38" s="7" t="s">
        <v>16</v>
      </c>
      <c r="H38" s="1"/>
      <c r="I38" s="1"/>
      <c r="J38" s="1"/>
      <c r="K38" s="1"/>
      <c r="L38" s="1"/>
      <c r="M38" s="1"/>
      <c r="N38" s="1"/>
      <c r="O38" s="1"/>
    </row>
    <row r="39" spans="1:15" ht="15.75" customHeight="1" x14ac:dyDescent="0.2"/>
    <row r="40" spans="1:15" ht="15.75" customHeight="1" x14ac:dyDescent="0.2">
      <c r="A40" s="35">
        <v>4</v>
      </c>
      <c r="B40" s="7">
        <v>128</v>
      </c>
      <c r="C40" s="7">
        <v>16</v>
      </c>
      <c r="D40" s="6">
        <v>5.0000000000000001E-4</v>
      </c>
      <c r="E40" s="6">
        <v>10</v>
      </c>
      <c r="F40" s="1"/>
      <c r="G40" s="7">
        <v>3.41</v>
      </c>
      <c r="H40" s="7">
        <v>1.55</v>
      </c>
      <c r="I40" s="7">
        <v>8.8800000000000008</v>
      </c>
      <c r="J40" s="7">
        <v>4.47</v>
      </c>
      <c r="K40" s="1"/>
      <c r="L40" s="1"/>
      <c r="M40" s="1"/>
      <c r="N40" s="1"/>
      <c r="O40" s="1"/>
    </row>
    <row r="41" spans="1:15" ht="15.75" customHeight="1" x14ac:dyDescent="0.2">
      <c r="A41" s="35">
        <v>5</v>
      </c>
      <c r="B41" s="7">
        <v>128</v>
      </c>
      <c r="C41" s="7">
        <v>16</v>
      </c>
      <c r="D41" s="6">
        <v>5.0000000000000001E-4</v>
      </c>
      <c r="E41" s="6">
        <v>20</v>
      </c>
      <c r="F41" s="1"/>
      <c r="G41" s="7">
        <v>5.68</v>
      </c>
      <c r="H41" s="7">
        <v>3.05</v>
      </c>
      <c r="I41" s="7">
        <v>12.44</v>
      </c>
      <c r="J41" s="7">
        <v>7.74</v>
      </c>
      <c r="K41" s="1"/>
      <c r="L41" s="1"/>
      <c r="M41" s="1"/>
      <c r="N41" s="1"/>
      <c r="O41" s="1"/>
    </row>
    <row r="42" spans="1:15" ht="15.75" customHeight="1" x14ac:dyDescent="0.2">
      <c r="A42" s="35">
        <v>6</v>
      </c>
      <c r="B42" s="7">
        <v>128</v>
      </c>
      <c r="C42" s="7">
        <v>16</v>
      </c>
      <c r="D42" s="6">
        <v>5.0000000000000001E-4</v>
      </c>
      <c r="E42" s="6">
        <v>50</v>
      </c>
      <c r="F42" s="1"/>
      <c r="G42" s="7" t="s">
        <v>16</v>
      </c>
      <c r="H42" s="1"/>
      <c r="I42" s="1"/>
      <c r="J42" s="1"/>
      <c r="K42" s="1"/>
      <c r="L42" s="1"/>
      <c r="M42" s="1"/>
      <c r="N42" s="1"/>
      <c r="O42" s="1"/>
    </row>
    <row r="43" spans="1:15" ht="15.75" customHeight="1" x14ac:dyDescent="0.2"/>
    <row r="44" spans="1:15" ht="15.75" customHeight="1" x14ac:dyDescent="0.2">
      <c r="A44" s="35">
        <v>7</v>
      </c>
      <c r="B44" s="7">
        <v>128</v>
      </c>
      <c r="C44" s="7">
        <v>16</v>
      </c>
      <c r="D44" s="6">
        <v>1E-4</v>
      </c>
      <c r="E44" s="6">
        <v>10</v>
      </c>
      <c r="F44" s="1"/>
      <c r="G44" s="7">
        <v>1.55</v>
      </c>
      <c r="H44" s="7">
        <v>0.93</v>
      </c>
      <c r="I44" s="7">
        <v>5.34</v>
      </c>
      <c r="J44" s="7">
        <v>2.92</v>
      </c>
      <c r="K44" s="1"/>
      <c r="L44" s="1"/>
      <c r="M44" s="1"/>
      <c r="N44" s="1"/>
      <c r="O44" s="1"/>
    </row>
    <row r="45" spans="1:15" ht="15.75" customHeight="1" x14ac:dyDescent="0.2">
      <c r="A45" s="35">
        <v>8</v>
      </c>
      <c r="B45" s="7">
        <v>128</v>
      </c>
      <c r="C45" s="7">
        <v>16</v>
      </c>
      <c r="D45" s="6">
        <v>1E-4</v>
      </c>
      <c r="E45" s="6">
        <v>20</v>
      </c>
      <c r="F45" s="1"/>
      <c r="G45" s="7">
        <v>1.68</v>
      </c>
      <c r="H45" s="7">
        <v>1.03</v>
      </c>
      <c r="I45" s="7">
        <v>5.65</v>
      </c>
      <c r="J45" s="7">
        <v>3.23</v>
      </c>
      <c r="K45" s="1"/>
      <c r="L45" s="1"/>
      <c r="M45" s="1"/>
      <c r="N45" s="1"/>
      <c r="O45" s="1"/>
    </row>
    <row r="46" spans="1:15" ht="15.75" customHeight="1" x14ac:dyDescent="0.2">
      <c r="A46" s="35">
        <v>9</v>
      </c>
      <c r="B46" s="7">
        <v>128</v>
      </c>
      <c r="C46" s="7">
        <v>16</v>
      </c>
      <c r="D46" s="6">
        <v>1E-4</v>
      </c>
      <c r="E46" s="6">
        <v>50</v>
      </c>
      <c r="F46" s="1"/>
      <c r="G46" s="7" t="s">
        <v>16</v>
      </c>
      <c r="H46" s="1"/>
      <c r="I46" s="1"/>
      <c r="J46" s="1"/>
      <c r="K46" s="1"/>
      <c r="L46" s="1"/>
      <c r="M46" s="1"/>
      <c r="N46" s="1"/>
      <c r="O46" s="1"/>
    </row>
    <row r="47" spans="1:15" ht="15.75" customHeight="1" x14ac:dyDescent="0.2"/>
    <row r="48" spans="1:15" ht="15.75" customHeight="1" x14ac:dyDescent="0.2">
      <c r="A48" s="35">
        <v>10</v>
      </c>
      <c r="B48" s="30">
        <v>128</v>
      </c>
      <c r="C48" s="30">
        <v>16</v>
      </c>
      <c r="D48" s="17">
        <v>2.5000000000000001E-3</v>
      </c>
      <c r="E48" s="17">
        <v>20</v>
      </c>
      <c r="F48" s="20"/>
      <c r="G48" s="30">
        <v>6.74</v>
      </c>
      <c r="H48" s="30">
        <v>3.79</v>
      </c>
      <c r="I48" s="30">
        <v>12.96</v>
      </c>
      <c r="J48" s="30">
        <v>7.95</v>
      </c>
      <c r="K48" s="1"/>
      <c r="L48" s="1"/>
      <c r="M48" s="1"/>
      <c r="N48" s="1"/>
      <c r="O48" s="1"/>
    </row>
    <row r="49" spans="1:15" ht="15.75" customHeight="1" x14ac:dyDescent="0.2">
      <c r="D49" s="13"/>
      <c r="E49" s="13"/>
    </row>
    <row r="50" spans="1:15" ht="15.75" customHeight="1" x14ac:dyDescent="0.2">
      <c r="E50" s="13"/>
    </row>
    <row r="51" spans="1:15" ht="15.75" customHeight="1" x14ac:dyDescent="0.2">
      <c r="B51" s="13" t="s">
        <v>15</v>
      </c>
    </row>
    <row r="52" spans="1:15" ht="15.75" customHeight="1" x14ac:dyDescent="0.2">
      <c r="A52" s="35">
        <v>1</v>
      </c>
      <c r="B52" s="7">
        <v>256</v>
      </c>
      <c r="C52" s="7">
        <v>16</v>
      </c>
      <c r="D52" s="6">
        <v>1E-3</v>
      </c>
      <c r="E52" s="6">
        <v>10</v>
      </c>
      <c r="F52" s="1"/>
      <c r="G52" s="7">
        <v>5.29</v>
      </c>
      <c r="H52" s="7">
        <v>2.74</v>
      </c>
      <c r="I52" s="7">
        <v>12.31</v>
      </c>
      <c r="J52" s="7">
        <v>7.15</v>
      </c>
      <c r="K52" s="1"/>
      <c r="L52" s="1"/>
      <c r="M52" s="1"/>
      <c r="N52" s="1"/>
      <c r="O52" s="1"/>
    </row>
    <row r="53" spans="1:15" ht="15.75" customHeight="1" x14ac:dyDescent="0.2">
      <c r="A53" s="35">
        <v>2</v>
      </c>
      <c r="B53" s="7">
        <v>256</v>
      </c>
      <c r="C53" s="7">
        <v>16</v>
      </c>
      <c r="D53" s="6">
        <v>1E-3</v>
      </c>
      <c r="E53" s="6">
        <v>20</v>
      </c>
      <c r="F53" s="1"/>
      <c r="G53" s="7">
        <v>7.07</v>
      </c>
      <c r="H53" s="7">
        <v>4.03</v>
      </c>
      <c r="I53" s="7">
        <v>14.07</v>
      </c>
      <c r="J53" s="7">
        <v>8.7200000000000006</v>
      </c>
      <c r="K53" s="1"/>
      <c r="L53" s="1"/>
      <c r="M53" s="1"/>
      <c r="N53" s="1"/>
      <c r="O53" s="1"/>
    </row>
    <row r="54" spans="1:15" ht="15.75" customHeight="1" x14ac:dyDescent="0.2">
      <c r="A54" s="35">
        <v>3</v>
      </c>
      <c r="B54" s="7">
        <v>256</v>
      </c>
      <c r="C54" s="7">
        <v>16</v>
      </c>
      <c r="D54" s="6">
        <v>1E-3</v>
      </c>
      <c r="E54" s="6">
        <v>50</v>
      </c>
      <c r="F54" s="1"/>
      <c r="G54" s="7" t="s">
        <v>16</v>
      </c>
      <c r="H54" s="1"/>
      <c r="I54" s="1"/>
      <c r="J54" s="1"/>
      <c r="K54" s="1"/>
      <c r="L54" s="1"/>
      <c r="M54" s="1"/>
      <c r="N54" s="1"/>
      <c r="O54" s="1"/>
    </row>
    <row r="55" spans="1:15" ht="15.75" customHeight="1" x14ac:dyDescent="0.2"/>
    <row r="56" spans="1:15" ht="15.75" customHeight="1" x14ac:dyDescent="0.2">
      <c r="A56" s="35">
        <v>4</v>
      </c>
      <c r="B56" s="7">
        <v>256</v>
      </c>
      <c r="C56" s="7">
        <v>16</v>
      </c>
      <c r="D56" s="6">
        <v>5.0000000000000001E-4</v>
      </c>
      <c r="E56" s="6">
        <v>10</v>
      </c>
      <c r="F56" s="1"/>
      <c r="G56" s="7">
        <v>3.85</v>
      </c>
      <c r="H56" s="7">
        <v>1.86</v>
      </c>
      <c r="I56" s="7">
        <v>9.81</v>
      </c>
      <c r="J56" s="7">
        <v>5.81</v>
      </c>
      <c r="K56" s="1"/>
      <c r="L56" s="1"/>
      <c r="M56" s="1"/>
      <c r="N56" s="1"/>
      <c r="O56" s="1"/>
    </row>
    <row r="57" spans="1:15" ht="15.75" customHeight="1" x14ac:dyDescent="0.2">
      <c r="A57" s="35">
        <v>5</v>
      </c>
      <c r="B57" s="7">
        <v>256</v>
      </c>
      <c r="C57" s="7">
        <v>16</v>
      </c>
      <c r="D57" s="6">
        <v>5.0000000000000001E-4</v>
      </c>
      <c r="E57" s="6">
        <v>20</v>
      </c>
      <c r="F57" s="1"/>
      <c r="G57" s="7">
        <v>6.38</v>
      </c>
      <c r="H57" s="7">
        <v>3.46</v>
      </c>
      <c r="I57" s="7">
        <v>13.06</v>
      </c>
      <c r="J57" s="7">
        <v>7.8</v>
      </c>
      <c r="K57" s="1"/>
      <c r="L57" s="1"/>
      <c r="M57" s="1"/>
      <c r="N57" s="1"/>
      <c r="O57" s="1"/>
    </row>
    <row r="58" spans="1:15" ht="15.75" customHeight="1" x14ac:dyDescent="0.2">
      <c r="A58" s="35">
        <v>6</v>
      </c>
      <c r="B58" s="7">
        <v>256</v>
      </c>
      <c r="C58" s="7">
        <v>16</v>
      </c>
      <c r="D58" s="6">
        <v>5.0000000000000001E-4</v>
      </c>
      <c r="E58" s="6">
        <v>50</v>
      </c>
      <c r="F58" s="1"/>
      <c r="G58" s="7" t="s">
        <v>16</v>
      </c>
      <c r="H58" s="1"/>
      <c r="I58" s="1"/>
      <c r="J58" s="1"/>
      <c r="K58" s="1"/>
      <c r="L58" s="1"/>
      <c r="M58" s="1"/>
      <c r="N58" s="1"/>
      <c r="O58" s="1"/>
    </row>
    <row r="59" spans="1:15" ht="15.75" customHeight="1" x14ac:dyDescent="0.2"/>
    <row r="60" spans="1:15" ht="15.75" customHeight="1" x14ac:dyDescent="0.2">
      <c r="A60" s="35">
        <v>7</v>
      </c>
      <c r="B60" s="7">
        <v>256</v>
      </c>
      <c r="C60" s="7">
        <v>16</v>
      </c>
      <c r="D60" s="6">
        <v>1E-4</v>
      </c>
      <c r="E60" s="6">
        <v>10</v>
      </c>
      <c r="F60" s="1"/>
      <c r="G60" s="7">
        <v>1.91</v>
      </c>
      <c r="H60" s="7">
        <v>1.1399999999999999</v>
      </c>
      <c r="I60" s="7">
        <v>5.6</v>
      </c>
      <c r="J60" s="7">
        <v>3.36</v>
      </c>
      <c r="K60" s="1"/>
      <c r="L60" s="1"/>
      <c r="M60" s="1"/>
      <c r="N60" s="1"/>
      <c r="O60" s="1"/>
    </row>
    <row r="61" spans="1:15" ht="15.75" customHeight="1" x14ac:dyDescent="0.2">
      <c r="A61" s="35">
        <v>8</v>
      </c>
      <c r="B61" s="7">
        <v>256</v>
      </c>
      <c r="C61" s="7">
        <v>16</v>
      </c>
      <c r="D61" s="6">
        <v>1E-4</v>
      </c>
      <c r="E61" s="6">
        <v>20</v>
      </c>
      <c r="F61" s="1"/>
      <c r="G61" s="7">
        <v>2.48</v>
      </c>
      <c r="H61" s="7">
        <v>1.19</v>
      </c>
      <c r="I61" s="7">
        <v>6.45</v>
      </c>
      <c r="J61" s="7">
        <v>3.61</v>
      </c>
      <c r="K61" s="1"/>
      <c r="L61" s="1"/>
      <c r="M61" s="1"/>
      <c r="N61" s="1"/>
      <c r="O61" s="1"/>
    </row>
    <row r="62" spans="1:15" ht="15.75" customHeight="1" x14ac:dyDescent="0.2">
      <c r="A62" s="35">
        <v>9</v>
      </c>
      <c r="B62" s="7">
        <v>256</v>
      </c>
      <c r="C62" s="7">
        <v>16</v>
      </c>
      <c r="D62" s="6">
        <v>1E-4</v>
      </c>
      <c r="E62" s="6">
        <v>50</v>
      </c>
      <c r="F62" s="1"/>
      <c r="G62" s="7" t="s">
        <v>16</v>
      </c>
      <c r="H62" s="1"/>
      <c r="I62" s="1"/>
      <c r="J62" s="1"/>
      <c r="K62" s="1"/>
      <c r="L62" s="1"/>
      <c r="M62" s="1"/>
      <c r="N62" s="1"/>
      <c r="O62" s="1"/>
    </row>
    <row r="63" spans="1:15" ht="15.75" customHeight="1" x14ac:dyDescent="0.2"/>
    <row r="64" spans="1:15" ht="15.75" customHeight="1" x14ac:dyDescent="0.2">
      <c r="A64" s="35">
        <v>10</v>
      </c>
      <c r="B64" s="7">
        <v>256</v>
      </c>
      <c r="C64" s="7">
        <v>16</v>
      </c>
      <c r="D64" s="6">
        <v>2.5000000000000001E-3</v>
      </c>
      <c r="E64" s="6">
        <v>20</v>
      </c>
      <c r="F64" s="1"/>
      <c r="G64" s="7">
        <v>0.44</v>
      </c>
      <c r="H64" s="7">
        <v>0.15</v>
      </c>
      <c r="I64" s="7">
        <v>5.14</v>
      </c>
      <c r="J64" s="7">
        <v>3.15</v>
      </c>
      <c r="K64" s="1"/>
      <c r="L64" s="1"/>
      <c r="M64" s="1"/>
      <c r="N64" s="1"/>
      <c r="O64" s="1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spans="4:4" ht="15.75" customHeight="1" x14ac:dyDescent="0.2"/>
    <row r="98" spans="4:4" ht="15.75" customHeight="1" x14ac:dyDescent="0.2"/>
    <row r="99" spans="4:4" ht="15.75" customHeight="1" x14ac:dyDescent="0.2"/>
    <row r="100" spans="4:4" ht="15.75" customHeight="1" x14ac:dyDescent="0.2"/>
    <row r="101" spans="4:4" ht="15.75" customHeight="1" x14ac:dyDescent="0.2"/>
    <row r="102" spans="4:4" ht="15.75" customHeight="1" x14ac:dyDescent="0.2"/>
    <row r="103" spans="4:4" ht="15.75" customHeight="1" x14ac:dyDescent="0.2"/>
    <row r="104" spans="4:4" ht="15.75" customHeight="1" x14ac:dyDescent="0.2"/>
    <row r="105" spans="4:4" ht="15.75" customHeight="1" x14ac:dyDescent="0.2"/>
    <row r="106" spans="4:4" ht="15.75" customHeight="1" x14ac:dyDescent="0.2"/>
    <row r="107" spans="4:4" ht="15.75" customHeight="1" x14ac:dyDescent="0.2"/>
    <row r="108" spans="4:4" ht="15.75" customHeight="1" x14ac:dyDescent="0.2"/>
    <row r="109" spans="4:4" ht="15.75" customHeight="1" x14ac:dyDescent="0.2"/>
    <row r="110" spans="4:4" ht="15.75" customHeight="1" x14ac:dyDescent="0.2"/>
    <row r="111" spans="4:4" ht="15.75" customHeight="1" x14ac:dyDescent="0.2">
      <c r="D111" s="13"/>
    </row>
    <row r="112" spans="4:4" ht="15.75" customHeight="1" x14ac:dyDescent="0.2"/>
    <row r="113" spans="4:5" ht="15.75" customHeight="1" x14ac:dyDescent="0.2">
      <c r="D113" s="13"/>
      <c r="E113" s="13"/>
    </row>
    <row r="114" spans="4:5" ht="15.75" customHeight="1" x14ac:dyDescent="0.2"/>
    <row r="115" spans="4:5" ht="15.75" customHeight="1" x14ac:dyDescent="0.2"/>
    <row r="116" spans="4:5" ht="15.75" customHeight="1" x14ac:dyDescent="0.2"/>
    <row r="117" spans="4:5" ht="15.75" customHeight="1" x14ac:dyDescent="0.2"/>
    <row r="118" spans="4:5" ht="15.75" customHeight="1" x14ac:dyDescent="0.2"/>
    <row r="119" spans="4:5" ht="15.75" customHeight="1" x14ac:dyDescent="0.2"/>
    <row r="120" spans="4:5" ht="15.75" customHeight="1" x14ac:dyDescent="0.2"/>
    <row r="121" spans="4:5" ht="15.75" customHeight="1" x14ac:dyDescent="0.2"/>
    <row r="122" spans="4:5" ht="15.75" customHeight="1" x14ac:dyDescent="0.2"/>
    <row r="123" spans="4:5" ht="15.75" customHeight="1" x14ac:dyDescent="0.2"/>
    <row r="124" spans="4:5" ht="15.75" customHeight="1" x14ac:dyDescent="0.2"/>
    <row r="125" spans="4:5" ht="15.75" customHeight="1" x14ac:dyDescent="0.2"/>
    <row r="126" spans="4:5" ht="15.75" customHeight="1" x14ac:dyDescent="0.2"/>
    <row r="127" spans="4:5" ht="15.75" customHeight="1" x14ac:dyDescent="0.2"/>
    <row r="128" spans="4:5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conditionalFormatting sqref="H5:L6 N5:O6">
    <cfRule type="notContainsBlanks" dxfId="1" priority="1">
      <formula>LEN(TRIM(H5))&gt;0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baseColWidth="10" defaultColWidth="11.1640625" defaultRowHeight="15" customHeight="1" x14ac:dyDescent="0.2"/>
  <cols>
    <col min="1" max="8" width="10.5" customWidth="1"/>
    <col min="9" max="9" width="13.83203125" customWidth="1"/>
    <col min="10" max="26" width="10.5" customWidth="1"/>
  </cols>
  <sheetData>
    <row r="1" spans="1:15" ht="15.75" customHeight="1" x14ac:dyDescent="0.2"/>
    <row r="2" spans="1:15" ht="15.75" customHeight="1" x14ac:dyDescent="0.2">
      <c r="B2" s="15" t="s">
        <v>0</v>
      </c>
      <c r="C2" s="15" t="s">
        <v>1</v>
      </c>
      <c r="D2" s="15" t="s">
        <v>2</v>
      </c>
      <c r="E2" s="15" t="s">
        <v>3</v>
      </c>
      <c r="G2" s="15" t="s">
        <v>4</v>
      </c>
      <c r="H2" s="15" t="s">
        <v>5</v>
      </c>
      <c r="I2" s="15" t="s">
        <v>6</v>
      </c>
      <c r="J2" s="15" t="s">
        <v>6</v>
      </c>
      <c r="L2" s="13" t="s">
        <v>17</v>
      </c>
    </row>
    <row r="3" spans="1:15" ht="15.75" customHeight="1" x14ac:dyDescent="0.2">
      <c r="E3" s="15"/>
      <c r="G3" s="40" t="s">
        <v>8</v>
      </c>
      <c r="H3" s="40" t="s">
        <v>9</v>
      </c>
      <c r="I3" s="15" t="s">
        <v>8</v>
      </c>
      <c r="J3" s="15" t="s">
        <v>9</v>
      </c>
      <c r="L3" s="13">
        <v>5.45</v>
      </c>
      <c r="M3" s="15">
        <v>3.12</v>
      </c>
      <c r="N3" s="15">
        <v>10.74</v>
      </c>
      <c r="O3" s="15">
        <v>6.63</v>
      </c>
    </row>
    <row r="4" spans="1:15" ht="15.75" customHeight="1" x14ac:dyDescent="0.2">
      <c r="E4" s="15"/>
    </row>
    <row r="5" spans="1:15" ht="15.75" customHeight="1" x14ac:dyDescent="0.2">
      <c r="A5" s="13"/>
      <c r="B5" s="13" t="s">
        <v>18</v>
      </c>
      <c r="C5" s="13"/>
      <c r="D5" s="15"/>
      <c r="E5" s="15"/>
      <c r="G5" s="41"/>
      <c r="H5" s="12"/>
      <c r="I5" s="12"/>
      <c r="J5" s="12"/>
      <c r="K5" s="11"/>
      <c r="L5" s="11"/>
      <c r="M5" s="11"/>
      <c r="N5" s="11"/>
      <c r="O5" s="11"/>
    </row>
    <row r="6" spans="1:15" ht="15.75" customHeight="1" x14ac:dyDescent="0.2">
      <c r="A6" s="13"/>
      <c r="B6" s="13"/>
      <c r="C6" s="13"/>
      <c r="D6" s="15"/>
      <c r="E6" s="15"/>
      <c r="G6" s="15"/>
      <c r="H6" s="7"/>
      <c r="I6" s="8"/>
      <c r="J6" s="8"/>
      <c r="K6" s="1"/>
      <c r="L6" s="8"/>
      <c r="M6" s="8"/>
      <c r="N6" s="8"/>
      <c r="O6" s="8"/>
    </row>
    <row r="7" spans="1:15" ht="15.75" customHeight="1" x14ac:dyDescent="0.2">
      <c r="A7" s="13">
        <v>1</v>
      </c>
      <c r="B7" s="13">
        <v>96</v>
      </c>
      <c r="C7" s="13">
        <v>64</v>
      </c>
      <c r="D7" s="15">
        <v>2.5000000000000001E-3</v>
      </c>
      <c r="E7" s="15">
        <v>10</v>
      </c>
      <c r="G7" s="41">
        <v>3.72</v>
      </c>
      <c r="H7" s="12">
        <v>1.99</v>
      </c>
      <c r="I7" s="12">
        <v>9.4499999999999993</v>
      </c>
      <c r="J7" s="12">
        <v>5.29</v>
      </c>
      <c r="K7" s="1"/>
      <c r="L7" s="8">
        <f t="shared" ref="L7:O7" si="0">SUM(G7-L3)</f>
        <v>-1.73</v>
      </c>
      <c r="M7" s="8">
        <f t="shared" si="0"/>
        <v>-1.1300000000000001</v>
      </c>
      <c r="N7" s="8">
        <f t="shared" si="0"/>
        <v>-1.2900000000000009</v>
      </c>
      <c r="O7" s="8">
        <f t="shared" si="0"/>
        <v>-1.3399999999999999</v>
      </c>
    </row>
    <row r="8" spans="1:15" ht="15.75" customHeight="1" x14ac:dyDescent="0.2">
      <c r="A8" s="13">
        <v>2</v>
      </c>
      <c r="B8" s="13">
        <v>96</v>
      </c>
      <c r="C8" s="13">
        <v>32</v>
      </c>
      <c r="D8" s="15">
        <v>2.5000000000000001E-3</v>
      </c>
      <c r="E8" s="15">
        <v>10</v>
      </c>
      <c r="G8" s="13">
        <v>4.3899999999999997</v>
      </c>
      <c r="H8" s="13">
        <v>1.99</v>
      </c>
      <c r="I8" s="13">
        <v>9.27</v>
      </c>
      <c r="J8" s="13">
        <v>5.34</v>
      </c>
      <c r="L8" s="8">
        <f t="shared" ref="L8:O8" si="1">SUM(G8-L3)</f>
        <v>-1.0600000000000005</v>
      </c>
      <c r="M8" s="8">
        <f t="shared" si="1"/>
        <v>-1.1300000000000001</v>
      </c>
      <c r="N8" s="8">
        <f t="shared" si="1"/>
        <v>-1.4700000000000006</v>
      </c>
      <c r="O8" s="8">
        <f t="shared" si="1"/>
        <v>-1.29</v>
      </c>
    </row>
    <row r="9" spans="1:15" ht="15.75" customHeight="1" x14ac:dyDescent="0.2">
      <c r="A9" s="42">
        <v>3</v>
      </c>
      <c r="B9" s="42">
        <v>96</v>
      </c>
      <c r="C9" s="43">
        <v>16</v>
      </c>
      <c r="D9" s="43">
        <v>2.5000000000000001E-3</v>
      </c>
      <c r="E9" s="43">
        <v>10</v>
      </c>
      <c r="F9" s="44"/>
      <c r="G9" s="42">
        <v>6.12</v>
      </c>
      <c r="H9" s="42">
        <v>3.41</v>
      </c>
      <c r="I9" s="42">
        <v>13.53</v>
      </c>
      <c r="J9" s="42">
        <v>8.7200000000000006</v>
      </c>
      <c r="K9" s="44"/>
      <c r="L9" s="19">
        <f t="shared" ref="L9:O9" si="2">SUM(G9-L3)</f>
        <v>0.66999999999999993</v>
      </c>
      <c r="M9" s="19">
        <f t="shared" si="2"/>
        <v>0.29000000000000004</v>
      </c>
      <c r="N9" s="19">
        <f t="shared" si="2"/>
        <v>2.7899999999999991</v>
      </c>
      <c r="O9" s="19">
        <f t="shared" si="2"/>
        <v>2.0900000000000007</v>
      </c>
    </row>
    <row r="10" spans="1:15" ht="15.75" customHeight="1" x14ac:dyDescent="0.2">
      <c r="A10" s="13">
        <v>4</v>
      </c>
      <c r="B10" s="15">
        <v>128</v>
      </c>
      <c r="C10" s="13">
        <v>32</v>
      </c>
      <c r="D10" s="15">
        <v>2.5000000000000001E-3</v>
      </c>
      <c r="E10" s="13">
        <v>10</v>
      </c>
      <c r="G10" s="13">
        <v>4.21</v>
      </c>
      <c r="H10" s="13">
        <v>2.27</v>
      </c>
      <c r="I10" s="13">
        <v>10.79</v>
      </c>
      <c r="J10" s="13">
        <v>6.09</v>
      </c>
      <c r="L10" s="8">
        <f t="shared" ref="L10:O10" si="3">SUM(G10-L3)</f>
        <v>-1.2400000000000002</v>
      </c>
      <c r="M10" s="8">
        <f t="shared" si="3"/>
        <v>-0.85000000000000009</v>
      </c>
      <c r="N10" s="8">
        <f t="shared" si="3"/>
        <v>4.9999999999998934E-2</v>
      </c>
      <c r="O10" s="8">
        <f t="shared" si="3"/>
        <v>-0.54</v>
      </c>
    </row>
    <row r="11" spans="1:15" ht="15.75" customHeight="1" x14ac:dyDescent="0.2">
      <c r="A11" s="13">
        <v>5</v>
      </c>
      <c r="B11" s="15">
        <v>128</v>
      </c>
      <c r="C11" s="13">
        <v>16</v>
      </c>
      <c r="D11" s="13">
        <v>2.5000000000000001E-3</v>
      </c>
      <c r="E11" s="13">
        <v>10</v>
      </c>
      <c r="G11" s="45">
        <v>3.64</v>
      </c>
      <c r="H11" s="45">
        <v>2.09</v>
      </c>
      <c r="I11" s="45">
        <v>8.85</v>
      </c>
      <c r="J11" s="45">
        <v>5.5</v>
      </c>
      <c r="L11" s="46">
        <f t="shared" ref="L11:O11" si="4">SUM(G11-L3)</f>
        <v>-1.81</v>
      </c>
      <c r="M11" s="46">
        <f t="shared" si="4"/>
        <v>-1.0300000000000002</v>
      </c>
      <c r="N11" s="46">
        <f t="shared" si="4"/>
        <v>-1.8900000000000006</v>
      </c>
      <c r="O11" s="46">
        <f t="shared" si="4"/>
        <v>-1.1299999999999999</v>
      </c>
    </row>
    <row r="12" spans="1:15" ht="15.75" customHeight="1" x14ac:dyDescent="0.2">
      <c r="A12" s="47">
        <v>6</v>
      </c>
      <c r="B12" s="47">
        <v>256</v>
      </c>
      <c r="C12" s="47">
        <v>16</v>
      </c>
      <c r="D12" s="47">
        <v>2.5000000000000001E-3</v>
      </c>
      <c r="E12" s="47">
        <v>10</v>
      </c>
      <c r="G12" s="45" t="s">
        <v>19</v>
      </c>
      <c r="H12" s="48"/>
      <c r="I12" s="48"/>
      <c r="J12" s="48"/>
      <c r="L12" s="8"/>
      <c r="M12" s="8"/>
      <c r="N12" s="8"/>
      <c r="O12" s="8"/>
    </row>
    <row r="13" spans="1:15" ht="15.75" customHeight="1" x14ac:dyDescent="0.2">
      <c r="G13" s="48"/>
      <c r="H13" s="48"/>
      <c r="I13" s="48"/>
      <c r="J13" s="48"/>
      <c r="M13" s="8"/>
      <c r="N13" s="8"/>
      <c r="O13" s="8"/>
    </row>
    <row r="14" spans="1:15" ht="15.75" customHeight="1" x14ac:dyDescent="0.2">
      <c r="B14" s="13" t="s">
        <v>20</v>
      </c>
    </row>
    <row r="15" spans="1:15" ht="15.75" customHeight="1" x14ac:dyDescent="0.2">
      <c r="A15" s="47">
        <v>8</v>
      </c>
      <c r="B15" s="49">
        <v>96</v>
      </c>
      <c r="C15" s="49">
        <v>32</v>
      </c>
      <c r="D15" s="49">
        <v>1E-3</v>
      </c>
      <c r="E15" s="49">
        <v>10</v>
      </c>
      <c r="G15" s="13">
        <v>3.67</v>
      </c>
      <c r="H15" s="13">
        <v>1.68</v>
      </c>
      <c r="I15" s="13">
        <v>8.6199999999999992</v>
      </c>
      <c r="J15" s="13">
        <v>4.9000000000000004</v>
      </c>
      <c r="L15" s="50">
        <f t="shared" ref="L15:O15" si="5">SUM(G15-L3)</f>
        <v>-1.7800000000000002</v>
      </c>
      <c r="M15" s="50">
        <f t="shared" si="5"/>
        <v>-1.4400000000000002</v>
      </c>
      <c r="N15" s="50">
        <f t="shared" si="5"/>
        <v>-2.120000000000001</v>
      </c>
      <c r="O15" s="50">
        <f t="shared" si="5"/>
        <v>-1.7299999999999995</v>
      </c>
    </row>
    <row r="16" spans="1:15" ht="15.75" customHeight="1" x14ac:dyDescent="0.2">
      <c r="A16" s="47">
        <v>9</v>
      </c>
      <c r="B16" s="49">
        <v>96</v>
      </c>
      <c r="C16" s="49">
        <v>16</v>
      </c>
      <c r="D16" s="49">
        <v>1E-3</v>
      </c>
      <c r="E16" s="49">
        <v>10</v>
      </c>
      <c r="G16" s="13">
        <v>5.29</v>
      </c>
      <c r="H16" s="13">
        <v>2.71</v>
      </c>
      <c r="I16" s="13">
        <v>11.56</v>
      </c>
      <c r="J16" s="13">
        <v>7.36</v>
      </c>
      <c r="L16" s="50">
        <f t="shared" ref="L16:O16" si="6">SUM(G16-L3)</f>
        <v>-0.16000000000000014</v>
      </c>
      <c r="M16" s="50">
        <f t="shared" si="6"/>
        <v>-0.41000000000000014</v>
      </c>
      <c r="N16" s="50">
        <f t="shared" si="6"/>
        <v>0.82000000000000028</v>
      </c>
      <c r="O16" s="50">
        <f t="shared" si="6"/>
        <v>0.73000000000000043</v>
      </c>
    </row>
    <row r="17" spans="1:15" ht="15.75" customHeight="1" x14ac:dyDescent="0.2">
      <c r="A17" s="47">
        <v>10</v>
      </c>
      <c r="B17" s="13">
        <v>96</v>
      </c>
      <c r="C17" s="13">
        <v>16</v>
      </c>
      <c r="D17" s="49">
        <v>1E-3</v>
      </c>
      <c r="E17" s="13">
        <v>20</v>
      </c>
      <c r="G17" s="13">
        <v>4.9800000000000004</v>
      </c>
      <c r="H17" s="13">
        <v>2.68</v>
      </c>
      <c r="I17" s="13">
        <v>10.94</v>
      </c>
      <c r="J17" s="13">
        <v>6.45</v>
      </c>
      <c r="L17" s="50">
        <f t="shared" ref="L17:O17" si="7">SUM(G17-L3)</f>
        <v>-0.46999999999999975</v>
      </c>
      <c r="M17" s="50">
        <f t="shared" si="7"/>
        <v>-0.43999999999999995</v>
      </c>
      <c r="N17" s="50">
        <f t="shared" si="7"/>
        <v>0.19999999999999929</v>
      </c>
      <c r="O17" s="50">
        <f t="shared" si="7"/>
        <v>-0.17999999999999972</v>
      </c>
    </row>
    <row r="18" spans="1:15" ht="15.75" customHeight="1" x14ac:dyDescent="0.2">
      <c r="A18" s="51">
        <v>11</v>
      </c>
      <c r="B18" s="42">
        <v>96</v>
      </c>
      <c r="C18" s="42">
        <v>16</v>
      </c>
      <c r="D18" s="42">
        <v>2.5000000000000001E-3</v>
      </c>
      <c r="E18" s="42">
        <v>20</v>
      </c>
      <c r="F18" s="44"/>
      <c r="G18" s="42">
        <v>5.89</v>
      </c>
      <c r="H18" s="42">
        <v>3.23</v>
      </c>
      <c r="I18" s="42">
        <v>12.29</v>
      </c>
      <c r="J18" s="42">
        <v>7.41</v>
      </c>
      <c r="K18" s="44"/>
      <c r="L18" s="44">
        <f t="shared" ref="L18:O18" si="8">SUM(G18-L3)</f>
        <v>0.4399999999999995</v>
      </c>
      <c r="M18" s="44">
        <f t="shared" si="8"/>
        <v>0.10999999999999988</v>
      </c>
      <c r="N18" s="44">
        <f t="shared" si="8"/>
        <v>1.5499999999999989</v>
      </c>
      <c r="O18" s="44">
        <f t="shared" si="8"/>
        <v>0.78000000000000025</v>
      </c>
    </row>
    <row r="19" spans="1:15" ht="15.75" customHeight="1" x14ac:dyDescent="0.2">
      <c r="A19" s="47">
        <v>12</v>
      </c>
      <c r="B19" s="13">
        <v>96</v>
      </c>
      <c r="C19" s="13">
        <v>16</v>
      </c>
      <c r="D19" s="13">
        <v>1E-4</v>
      </c>
      <c r="E19" s="13">
        <v>20</v>
      </c>
      <c r="G19" s="13">
        <v>2.0699999999999998</v>
      </c>
      <c r="H19" s="13">
        <v>1.32</v>
      </c>
      <c r="I19" s="13">
        <v>5.83</v>
      </c>
      <c r="J19" s="13">
        <v>1.18</v>
      </c>
      <c r="L19" s="52">
        <f t="shared" ref="L19:O19" si="9">SUM(G19-L3)</f>
        <v>-3.3800000000000003</v>
      </c>
      <c r="M19" s="52">
        <f t="shared" si="9"/>
        <v>-1.8</v>
      </c>
      <c r="N19" s="52">
        <f t="shared" si="9"/>
        <v>-4.91</v>
      </c>
      <c r="O19" s="52">
        <f t="shared" si="9"/>
        <v>-5.45</v>
      </c>
    </row>
    <row r="20" spans="1:15" ht="15.75" customHeight="1" x14ac:dyDescent="0.2">
      <c r="A20" s="47">
        <v>13</v>
      </c>
      <c r="B20" s="53">
        <v>96</v>
      </c>
      <c r="C20" s="54">
        <v>16</v>
      </c>
      <c r="D20" s="54">
        <v>2.5000000000000001E-3</v>
      </c>
      <c r="E20" s="54">
        <v>50</v>
      </c>
      <c r="F20" s="54"/>
      <c r="G20" s="13">
        <v>6.01</v>
      </c>
      <c r="H20" s="13">
        <v>3.33</v>
      </c>
      <c r="I20" s="13">
        <v>12.91</v>
      </c>
      <c r="J20" s="13">
        <v>7.95</v>
      </c>
      <c r="L20" s="52">
        <f t="shared" ref="L20:O20" si="10">SUM(G20-L3)</f>
        <v>0.55999999999999961</v>
      </c>
      <c r="M20" s="52">
        <f t="shared" si="10"/>
        <v>0.20999999999999996</v>
      </c>
      <c r="N20" s="52">
        <f t="shared" si="10"/>
        <v>2.17</v>
      </c>
      <c r="O20" s="52">
        <f t="shared" si="10"/>
        <v>1.3200000000000003</v>
      </c>
    </row>
    <row r="21" spans="1:15" ht="15.75" customHeight="1" x14ac:dyDescent="0.2"/>
    <row r="22" spans="1:15" ht="15.75" customHeight="1" x14ac:dyDescent="0.2"/>
    <row r="23" spans="1:15" ht="15.75" customHeight="1" x14ac:dyDescent="0.2">
      <c r="B23" s="13"/>
    </row>
    <row r="24" spans="1:15" ht="15.75" customHeight="1" x14ac:dyDescent="0.2">
      <c r="A24" s="15"/>
      <c r="B24" s="13"/>
      <c r="C24" s="13"/>
      <c r="D24" s="13"/>
      <c r="E24" s="13"/>
      <c r="G24" s="15"/>
      <c r="H24" s="15"/>
    </row>
    <row r="25" spans="1:15" ht="15.75" customHeight="1" x14ac:dyDescent="0.2">
      <c r="A25" s="13"/>
      <c r="B25" s="13" t="s">
        <v>10</v>
      </c>
    </row>
    <row r="26" spans="1:15" ht="15.75" customHeight="1" x14ac:dyDescent="0.2">
      <c r="A26" s="15"/>
      <c r="B26" s="13" t="s">
        <v>11</v>
      </c>
      <c r="C26" s="15"/>
      <c r="D26" s="16"/>
      <c r="E26" s="15"/>
    </row>
    <row r="27" spans="1:15" ht="15.75" customHeight="1" x14ac:dyDescent="0.2">
      <c r="A27" s="13"/>
      <c r="B27" s="13" t="s">
        <v>12</v>
      </c>
      <c r="C27" s="15"/>
      <c r="D27" s="16"/>
      <c r="E27" s="15"/>
    </row>
    <row r="28" spans="1:15" ht="15.75" customHeight="1" x14ac:dyDescent="0.2">
      <c r="A28" s="15"/>
      <c r="D28" s="25"/>
    </row>
    <row r="29" spans="1:15" ht="15.75" customHeight="1" x14ac:dyDescent="0.2">
      <c r="A29" s="13"/>
      <c r="B29" s="55" t="s">
        <v>21</v>
      </c>
      <c r="C29" s="56"/>
      <c r="D29" s="56"/>
      <c r="E29" s="56"/>
      <c r="F29" s="56"/>
      <c r="G29" s="56"/>
    </row>
    <row r="30" spans="1:15" ht="15.75" customHeight="1" x14ac:dyDescent="0.2">
      <c r="B30" s="27" t="s">
        <v>14</v>
      </c>
      <c r="C30" s="15"/>
      <c r="D30" s="16"/>
      <c r="E30" s="15"/>
    </row>
    <row r="31" spans="1:15" ht="15.75" customHeight="1" x14ac:dyDescent="0.2">
      <c r="A31" s="15"/>
    </row>
    <row r="32" spans="1:15" ht="15.75" customHeight="1" x14ac:dyDescent="0.2">
      <c r="A32" s="15"/>
    </row>
    <row r="33" spans="1:1" ht="15.75" customHeight="1" x14ac:dyDescent="0.2">
      <c r="A33" s="15"/>
    </row>
    <row r="34" spans="1:1" ht="15.75" customHeight="1" x14ac:dyDescent="0.2"/>
    <row r="35" spans="1:1" ht="15.75" customHeight="1" x14ac:dyDescent="0.2"/>
    <row r="36" spans="1:1" ht="15.75" customHeight="1" x14ac:dyDescent="0.2"/>
    <row r="37" spans="1:1" ht="15.75" customHeight="1" x14ac:dyDescent="0.2"/>
    <row r="38" spans="1:1" ht="15.75" customHeight="1" x14ac:dyDescent="0.2"/>
    <row r="39" spans="1:1" ht="15.75" customHeight="1" x14ac:dyDescent="0.2"/>
    <row r="40" spans="1:1" ht="15.75" customHeight="1" x14ac:dyDescent="0.2"/>
    <row r="41" spans="1:1" ht="15.75" customHeight="1" x14ac:dyDescent="0.2"/>
    <row r="42" spans="1:1" ht="15.75" customHeight="1" x14ac:dyDescent="0.2"/>
    <row r="43" spans="1:1" ht="15.75" customHeight="1" x14ac:dyDescent="0.2"/>
    <row r="44" spans="1:1" ht="15.75" customHeight="1" x14ac:dyDescent="0.2"/>
    <row r="45" spans="1:1" ht="15.75" customHeight="1" x14ac:dyDescent="0.2"/>
    <row r="46" spans="1:1" ht="15.75" customHeight="1" x14ac:dyDescent="0.2"/>
    <row r="47" spans="1:1" ht="15.75" customHeight="1" x14ac:dyDescent="0.2"/>
    <row r="48" spans="1: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5:O6">
    <cfRule type="notContainsBlanks" dxfId="0" priority="1">
      <formula>LEN(TRIM(H5))&gt;0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OMNI_BERT</vt:lpstr>
      <vt:lpstr>OMNI_GLOVE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Ongaro - andrea.ongaro2@studio.unibo.it</dc:creator>
  <cp:lastModifiedBy>Andrea Ongaro - andrea.ongaro2@studio.unibo.it</cp:lastModifiedBy>
  <dcterms:created xsi:type="dcterms:W3CDTF">2024-12-24T10:07:01Z</dcterms:created>
  <dcterms:modified xsi:type="dcterms:W3CDTF">2025-01-30T13:25:47Z</dcterms:modified>
</cp:coreProperties>
</file>